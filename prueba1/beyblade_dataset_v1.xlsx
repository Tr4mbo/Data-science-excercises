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20483199c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Meta" sheetId="1" r:id="R2d645cfcb35046a4"/>
    <x:sheet xmlns:r="http://schemas.openxmlformats.org/officeDocument/2006/relationships" name="ENIGH_Deciles" sheetId="2" r:id="Rf63aeb233dda4157"/>
    <x:sheet xmlns:r="http://schemas.openxmlformats.org/officeDocument/2006/relationships" name="Data_Dictionary" sheetId="3" r:id="Rf298b436bad843d9"/>
    <x:sheet xmlns:r="http://schemas.openxmlformats.org/officeDocument/2006/relationships" name="Income_Scenarios_4k_9k" sheetId="4" r:id="Rd30146ac3a1c434f"/>
    <x:sheet xmlns:r="http://schemas.openxmlformats.org/officeDocument/2006/relationships" name="Methodology_Provenance" sheetId="5" r:id="Ra3995dabb1af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15ffc97fc4458" /><Relationship Type="http://schemas.openxmlformats.org/officeDocument/2006/relationships/theme" Target="/xl/theme/theme1.xml" Id="Rc868504f1508454a" /><Relationship Type="http://schemas.openxmlformats.org/officeDocument/2006/relationships/sharedStrings" Target="/xl/sharedStrings.xml" Id="R93d16cd9dd3a4e99" /><Relationship Type="http://schemas.openxmlformats.org/officeDocument/2006/relationships/worksheet" Target="/xl/worksheets/sheet1.xml" Id="R2d645cfcb35046a4" /><Relationship Type="http://schemas.openxmlformats.org/officeDocument/2006/relationships/worksheet" Target="/xl/worksheets/sheet2.xml" Id="Rf63aeb233dda4157" /><Relationship Type="http://schemas.openxmlformats.org/officeDocument/2006/relationships/worksheet" Target="/xl/worksheets/sheet3.xml" Id="Rf298b436bad843d9" /><Relationship Type="http://schemas.openxmlformats.org/officeDocument/2006/relationships/worksheet" Target="/xl/worksheets/sheet4.xml" Id="Rd30146ac3a1c434f" /><Relationship Type="http://schemas.openxmlformats.org/officeDocument/2006/relationships/worksheet" Target="/xl/worksheets/sheet5.xml" Id="Ra3995dabb1af4ec8" /></Relationships>
</file>

<file path=xl/tables/table1.xml><?xml version="1.0" encoding="utf-8"?>
<x:table xmlns:x="http://schemas.openxmlformats.org/spreadsheetml/2006/main" id="1" name="ProductsMetaTable" displayName="ProductsMetaTable" ref="A1:AD9" headerRowCount="1" totalsRowCount="0" totalsRowShown="0">
  <x:tableColumns count="30">
    <x:tableColumn id="1" name="product_code"/>
    <x:tableColumn id="2" name="product_name"/>
    <x:tableColumn id="3" name="line"/>
    <x:tableColumn id="4" name="product_type"/>
    <x:tableColumn id="5" name="release_date"/>
    <x:tableColumn id="6" name="blade"/>
    <x:tableColumn id="7" name="ratchet"/>
    <x:tableColumn id="8" name="bit"/>
    <x:tableColumn id="9" name="bey_count"/>
    <x:tableColumn id="10" name="launcher_included"/>
    <x:tableColumn id="11" name="stadium_included"/>
    <x:tableColumn id="12" name="price_1_mxn"/>
    <x:tableColumn id="13" name="price_2_mxn"/>
    <x:tableColumn id="14" name="price_min_mxn"/>
    <x:tableColumn id="15" name="price_max_mxn"/>
    <x:tableColumn id="16" name="price_median_mxn"/>
    <x:tableColumn id="17" name="price_source_count"/>
    <x:tableColumn id="18" name="blade_weight_g"/>
    <x:tableColumn id="19" name="meta_rank"/>
    <x:tableColumn id="20" name="meta_tier"/>
    <x:tableColumn id="21" name="meta_first_rate_pct"/>
    <x:tableColumn id="22" name="meta_win_share_pct"/>
    <x:tableColumn id="23" name="meta_usage_pct"/>
    <x:tableColumn id="24" name="meta_top_cuts"/>
    <x:tableColumn id="25" name="meta_snapshot_date"/>
    <x:tableColumn id="26" name="release_source_url"/>
    <x:tableColumn id="27" name="price_source_1_url"/>
    <x:tableColumn id="28" name="price_source_2_url"/>
    <x:tableColumn id="29" name="meta_source_url"/>
    <x:tableColumn id="3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IGHDecilesTable" displayName="ENIGHDecilesTable" ref="A1:H11" headerRowCount="1" totalsRowCount="0" totalsRowShown="0">
  <x:tableColumns count="8">
    <x:tableColumn id="1" name="decil"/>
    <x:tableColumn id="2" name="ingreso_trimestral_mxn"/>
    <x:tableColumn id="3" name="gasto_trimestral_mxn"/>
    <x:tableColumn id="4" name="ingreso_mensual_mxn"/>
    <x:tableColumn id="5" name="gasto_mensual_mxn"/>
    <x:tableColumn id="6" name="remanente_mensual_mxn"/>
    <x:tableColumn id="7" name="source_url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E21" headerRowCount="1" totalsRowCount="0" totalsRowShown="0">
  <x:tableColumns count="5">
    <x:tableColumn id="1" name="column"/>
    <x:tableColumn id="2" name="description"/>
    <x:tableColumn id="3" name="type"/>
    <x:tableColumn id="4" name="group"/>
    <x:tableColumn id="5" name="use_in_final_mod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wIncomeScenariosTable" displayName="LowIncomeScenariosTable" ref="A1:H12" headerRowCount="1" totalsRowCount="0" totalsRowShown="0">
  <x:tableColumns count="8">
    <x:tableColumn id="1" name="scenario_id"/>
    <x:tableColumn id="2" name="ingreso_personal_mensual_mxn"/>
    <x:tableColumn id="3" name="tipo_dato"/>
    <x:tableColumn id="4" name="uso_recomendado"/>
    <x:tableColumn id="5" name="nota_metodologica"/>
    <x:tableColumn id="6" name="source_type"/>
    <x:tableColumn id="7" name="source_url"/>
    <x:tableColumn id="8" name="official_inegi_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ologyTable" displayName="MethodologyTable" ref="A1:F6" headerRowCount="1" totalsRowCount="0" totalsRowShown="0">
  <x:tableColumns count="6">
    <x:tableColumn id="1" name="data_group"/>
    <x:tableColumn id="2" name="source"/>
    <x:tableColumn id="3" name="collection_method"/>
    <x:tableColumn id="4" name="fields_collected"/>
    <x:tableColumn id="5" name="important_limitation"/>
    <x:tableColumn id="6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21c171ca7c47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b00769dcf5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c9dc9a61c34e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7352fc284e42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987957d7f1498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3" max="3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" max="2" width="24" hidden="0" customWidth="1"/>
    <x:col min="6" max="6" width="2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</x:cols>
  <x:sheetData>
    <x:row r="1">
      <x:c r="A1" s="6" t="str">
        <x:v>product_code</x:v>
      </x:c>
      <x:c r="B1" s="6" t="str">
        <x:v>product_name</x:v>
      </x:c>
      <x:c r="C1" s="6" t="str">
        <x:v>line</x:v>
      </x:c>
      <x:c r="D1" s="6" t="str">
        <x:v>product_type</x:v>
      </x:c>
      <x:c r="E1" s="6" t="str">
        <x:v>release_date</x:v>
      </x:c>
      <x:c r="F1" s="6" t="str">
        <x:v>blade</x:v>
      </x:c>
      <x:c r="G1" s="6" t="str">
        <x:v>ratchet</x:v>
      </x:c>
      <x:c r="H1" s="6" t="str">
        <x:v>bit</x:v>
      </x:c>
      <x:c r="I1" s="6" t="str">
        <x:v>bey_count</x:v>
      </x:c>
      <x:c r="J1" s="6" t="str">
        <x:v>launcher_included</x:v>
      </x:c>
      <x:c r="K1" s="6" t="str">
        <x:v>stadium_included</x:v>
      </x:c>
      <x:c r="L1" s="6" t="str">
        <x:v>price_1_mxn</x:v>
      </x:c>
      <x:c r="M1" s="6" t="str">
        <x:v>price_2_mxn</x:v>
      </x:c>
      <x:c r="N1" s="6" t="str">
        <x:v>price_min_mxn</x:v>
      </x:c>
      <x:c r="O1" s="6" t="str">
        <x:v>price_max_mxn</x:v>
      </x:c>
      <x:c r="P1" s="6" t="str">
        <x:v>price_median_mxn</x:v>
      </x:c>
      <x:c r="Q1" s="6" t="str">
        <x:v>price_source_count</x:v>
      </x:c>
      <x:c r="R1" s="6" t="str">
        <x:v>blade_weight_g</x:v>
      </x:c>
      <x:c r="S1" s="6" t="str">
        <x:v>meta_rank</x:v>
      </x:c>
      <x:c r="T1" s="6" t="str">
        <x:v>meta_tier</x:v>
      </x:c>
      <x:c r="U1" s="6" t="str">
        <x:v>meta_first_rate_pct</x:v>
      </x:c>
      <x:c r="V1" s="6" t="str">
        <x:v>meta_win_share_pct</x:v>
      </x:c>
      <x:c r="W1" s="6" t="str">
        <x:v>meta_usage_pct</x:v>
      </x:c>
      <x:c r="X1" s="6" t="str">
        <x:v>meta_top_cuts</x:v>
      </x:c>
      <x:c r="Y1" s="6" t="str">
        <x:v>meta_snapshot_date</x:v>
      </x:c>
      <x:c r="Z1" s="6" t="str">
        <x:v>release_source_url</x:v>
      </x:c>
      <x:c r="AA1" s="6" t="str">
        <x:v>price_source_1_url</x:v>
      </x:c>
      <x:c r="AB1" s="6" t="str">
        <x:v>price_source_2_url</x:v>
      </x:c>
      <x:c r="AC1" s="6" t="str">
        <x:v>meta_source_url</x:v>
      </x:c>
      <x:c r="AD1" s="6" t="str">
        <x:v>notes</x:v>
      </x:c>
    </x:row>
    <x:row r="2">
      <x:c r="A2" s="12" t="str">
        <x:v>BX-01</x:v>
      </x:c>
      <x:c r="B2" s="12" t="str">
        <x:v>Dran Sword 3-60F</x:v>
      </x:c>
      <x:c r="C2" s="12" t="str">
        <x:v>BX</x:v>
      </x:c>
      <x:c r="D2" s="12" t="str">
        <x:v>Starter</x:v>
      </x:c>
      <x:c r="E2" s="12" t="str">
        <x:v>2023-07-15</x:v>
      </x:c>
      <x:c r="F2" s="12" t="str">
        <x:v>Dran Sword</x:v>
      </x:c>
      <x:c r="G2" s="12" t="str">
        <x:v>3-60</x:v>
      </x:c>
      <x:c r="H2" s="12" t="str">
        <x:v>F</x:v>
      </x:c>
      <x:c r="I2" s="12" t="n">
        <x:v>1</x:v>
      </x:c>
      <x:c r="J2" s="12" t="n">
        <x:v>1</x:v>
      </x:c>
      <x:c r="K2" s="12" t="n">
        <x:v>0</x:v>
      </x:c>
      <x:c r="L2" s="14" t="n">
        <x:v>600</x:v>
      </x:c>
      <x:c r="M2" s="14"/>
      <x:c r="N2" s="14" t="n">
        <x:f>MIN(L2:M2)</x:f>
        <x:v>600</x:v>
      </x:c>
      <x:c r="O2" s="14" t="n">
        <x:f>MAX(L2:M2)</x:f>
        <x:v>600</x:v>
      </x:c>
      <x:c r="P2" s="14" t="n">
        <x:f>MEDIAN(L2:M2)</x:f>
        <x:v>600</x:v>
      </x:c>
      <x:c r="Q2" s="12" t="n">
        <x:v>1</x:v>
      </x:c>
      <x:c r="R2" s="16" t="n">
        <x:v>34.6</x:v>
      </x:c>
      <x:c r="S2" s="12" t="n">
        <x:v>33</x:v>
      </x:c>
      <x:c r="T2" s="12" t="str">
        <x:v>B</x:v>
      </x:c>
      <x:c r="U2" s="16" t="n">
        <x:v>27.2</x:v>
      </x:c>
      <x:c r="V2" s="16" t="n">
        <x:v>1.4</x:v>
      </x:c>
      <x:c r="W2" s="16" t="n">
        <x:v>1.8</x:v>
      </x:c>
      <x:c r="X2" s="18" t="n">
        <x:v>173</x:v>
      </x:c>
      <x:c r="Y2" s="12" t="str">
        <x:v>2026-09-14</x:v>
      </x:c>
      <x:c r="Z2" s="12" t="str">
        <x:v>https://www.beybxdb.com/beyblade-product-list/release-list</x:v>
      </x:c>
      <x:c r="AA2" s="12" t="str">
        <x:v>https://andystoys.store/products/bx-01-starter-dran-sword-3-60f-beyblade-x-version-japonesa</x:v>
      </x:c>
      <x:c r="AB2" s="12"/>
      <x:c r="AC2" s="12" t="str">
        <x:v>https://beywatch.gg/blades/dran-sword</x:v>
      </x:c>
      <x:c r="AD2" s="12" t="str">
        <x:v>Takara Tomy; precio observado en tienda mexicana.</x:v>
      </x:c>
    </x:row>
    <x:row r="3">
      <x:c r="A3" s="12" t="str">
        <x:v>BX-02</x:v>
      </x:c>
      <x:c r="B3" s="12" t="str">
        <x:v>Hells Scythe 4-60T</x:v>
      </x:c>
      <x:c r="C3" s="12" t="str">
        <x:v>BX</x:v>
      </x:c>
      <x:c r="D3" s="12" t="str">
        <x:v>Starter</x:v>
      </x:c>
      <x:c r="E3" s="12" t="str">
        <x:v>2023-07-15</x:v>
      </x:c>
      <x:c r="F3" s="12" t="str">
        <x:v>Hells Scythe</x:v>
      </x:c>
      <x:c r="G3" s="12" t="str">
        <x:v>4-60</x:v>
      </x:c>
      <x:c r="H3" s="12" t="str">
        <x:v>T</x:v>
      </x:c>
      <x:c r="I3" s="12" t="n">
        <x:v>1</x:v>
      </x:c>
      <x:c r="J3" s="12" t="n">
        <x:v>1</x:v>
      </x:c>
      <x:c r="K3" s="12" t="n">
        <x:v>0</x:v>
      </x:c>
      <x:c r="L3" s="14" t="n">
        <x:v>799</x:v>
      </x:c>
      <x:c r="M3" s="14"/>
      <x:c r="N3" s="14" t="n">
        <x:f>MIN(L3:M3)</x:f>
        <x:v>799</x:v>
      </x:c>
      <x:c r="O3" s="14" t="n">
        <x:f>MAX(L3:M3)</x:f>
        <x:v>799</x:v>
      </x:c>
      <x:c r="P3" s="14" t="n">
        <x:f>MEDIAN(L3:M3)</x:f>
        <x:v>799</x:v>
      </x:c>
      <x:c r="Q3" s="12" t="n">
        <x:v>1</x:v>
      </x:c>
      <x:c r="R3" s="16" t="n">
        <x:v>32.7</x:v>
      </x:c>
      <x:c r="S3" s="12" t="n">
        <x:v>24</x:v>
      </x:c>
      <x:c r="T3" s="12" t="str">
        <x:v>B</x:v>
      </x:c>
      <x:c r="U3" s="16" t="n">
        <x:v>32.7</x:v>
      </x:c>
      <x:c r="V3" s="16" t="n">
        <x:v>2.8</x:v>
      </x:c>
      <x:c r="W3" s="16" t="n">
        <x:v>2.9</x:v>
      </x:c>
      <x:c r="X3" s="18" t="n">
        <x:v>281</x:v>
      </x:c>
      <x:c r="Y3" s="12" t="str">
        <x:v>2026-09-15</x:v>
      </x:c>
      <x:c r="Z3" s="12" t="str">
        <x:v>https://www.beybxdb.com/beyblade-product-list/release-list</x:v>
      </x:c>
      <x:c r="AA3" s="12" t="str">
        <x:v>https://rucua.com/products/bx-02-starter-hells-scythe-4-60t</x:v>
      </x:c>
      <x:c r="AB3" s="12"/>
      <x:c r="AC3" s="12" t="str">
        <x:v>https://beywatch.gg/blades/hells-scythe</x:v>
      </x:c>
      <x:c r="AD3" s="12" t="str">
        <x:v>Takara Tomy; precio observado en tienda mexicana.</x:v>
      </x:c>
    </x:row>
    <x:row r="4">
      <x:c r="A4" s="12" t="str">
        <x:v>BX-04</x:v>
      </x:c>
      <x:c r="B4" s="12" t="str">
        <x:v>Knight Shield 3-80N</x:v>
      </x:c>
      <x:c r="C4" s="12" t="str">
        <x:v>BX</x:v>
      </x:c>
      <x:c r="D4" s="12" t="str">
        <x:v>Starter</x:v>
      </x:c>
      <x:c r="E4" s="12" t="str">
        <x:v>2023-07-15</x:v>
      </x:c>
      <x:c r="F4" s="12" t="str">
        <x:v>Knight Shield</x:v>
      </x:c>
      <x:c r="G4" s="12" t="str">
        <x:v>3-80</x:v>
      </x:c>
      <x:c r="H4" s="12" t="str">
        <x:v>N</x:v>
      </x:c>
      <x:c r="I4" s="12" t="n">
        <x:v>1</x:v>
      </x:c>
      <x:c r="J4" s="12" t="n">
        <x:v>1</x:v>
      </x:c>
      <x:c r="K4" s="12" t="n">
        <x:v>0</x:v>
      </x:c>
      <x:c r="L4" s="14" t="n">
        <x:v>799</x:v>
      </x:c>
      <x:c r="M4" s="14"/>
      <x:c r="N4" s="14" t="n">
        <x:f>MIN(L4:M4)</x:f>
        <x:v>799</x:v>
      </x:c>
      <x:c r="O4" s="14" t="n">
        <x:f>MAX(L4:M4)</x:f>
        <x:v>799</x:v>
      </x:c>
      <x:c r="P4" s="14" t="n">
        <x:f>MEDIAN(L4:M4)</x:f>
        <x:v>799</x:v>
      </x:c>
      <x:c r="Q4" s="12" t="n">
        <x:v>1</x:v>
      </x:c>
      <x:c r="R4" s="16" t="n">
        <x:v>32.4</x:v>
      </x:c>
      <x:c r="S4" s="12" t="n">
        <x:v>9</x:v>
      </x:c>
      <x:c r="T4" s="12" t="str">
        <x:v>S</x:v>
      </x:c>
      <x:c r="U4" s="16" t="n">
        <x:v>34.3</x:v>
      </x:c>
      <x:c r="V4" s="16" t="n">
        <x:v>1.1</x:v>
      </x:c>
      <x:c r="W4" s="16" t="n">
        <x:v>1.1</x:v>
      </x:c>
      <x:c r="X4" s="18" t="n">
        <x:v>105</x:v>
      </x:c>
      <x:c r="Y4" s="12" t="str">
        <x:v>2026-09-15</x:v>
      </x:c>
      <x:c r="Z4" s="12" t="str">
        <x:v>https://www.beybxdb.com/beyblade-product-list/release-list</x:v>
      </x:c>
      <x:c r="AA4" s="12" t="str">
        <x:v>https://rucua.com/products/bx-04-starter-knight-shield-3-80n</x:v>
      </x:c>
      <x:c r="AB4" s="12"/>
      <x:c r="AC4" s="12" t="str">
        <x:v>https://beywatch.gg/blades/knight-shield</x:v>
      </x:c>
      <x:c r="AD4" s="12" t="str">
        <x:v>Takara Tomy; precio observado en tienda mexicana.</x:v>
      </x:c>
    </x:row>
    <x:row r="5">
      <x:c r="A5" s="12" t="str">
        <x:v>BX-15</x:v>
      </x:c>
      <x:c r="B5" s="12" t="str">
        <x:v>Leon Claw 5-60P</x:v>
      </x:c>
      <x:c r="C5" s="12" t="str">
        <x:v>BX</x:v>
      </x:c>
      <x:c r="D5" s="12" t="str">
        <x:v>Starter</x:v>
      </x:c>
      <x:c r="E5" s="12" t="str">
        <x:v>2023-10-07</x:v>
      </x:c>
      <x:c r="F5" s="12" t="str">
        <x:v>Leon Claw</x:v>
      </x:c>
      <x:c r="G5" s="12" t="str">
        <x:v>5-60</x:v>
      </x:c>
      <x:c r="H5" s="12" t="str">
        <x:v>P</x:v>
      </x:c>
      <x:c r="I5" s="12" t="n">
        <x:v>1</x:v>
      </x:c>
      <x:c r="J5" s="12" t="n">
        <x:v>1</x:v>
      </x:c>
      <x:c r="K5" s="12" t="n">
        <x:v>0</x:v>
      </x:c>
      <x:c r="L5" s="14" t="n">
        <x:v>600</x:v>
      </x:c>
      <x:c r="M5" s="14"/>
      <x:c r="N5" s="14" t="n">
        <x:f>MIN(L5:M5)</x:f>
        <x:v>600</x:v>
      </x:c>
      <x:c r="O5" s="14" t="n">
        <x:f>MAX(L5:M5)</x:f>
        <x:v>600</x:v>
      </x:c>
      <x:c r="P5" s="14" t="n">
        <x:f>MEDIAN(L5:M5)</x:f>
        <x:v>600</x:v>
      </x:c>
      <x:c r="Q5" s="12" t="n">
        <x:v>1</x:v>
      </x:c>
      <x:c r="R5" s="16" t="n">
        <x:v>31.4</x:v>
      </x:c>
      <x:c r="S5" s="12"/>
      <x:c r="T5" s="12" t="str">
        <x:v>?</x:v>
      </x:c>
      <x:c r="U5" s="16" t="n">
        <x:v>23.8</x:v>
      </x:c>
      <x:c r="V5" s="16" t="n">
        <x:v>0.2</x:v>
      </x:c>
      <x:c r="W5" s="16" t="n">
        <x:v>0.2</x:v>
      </x:c>
      <x:c r="X5" s="18" t="n">
        <x:v>21</x:v>
      </x:c>
      <x:c r="Y5" s="12" t="str">
        <x:v>2026-09-15</x:v>
      </x:c>
      <x:c r="Z5" s="12" t="str">
        <x:v>https://www.beybxdb.com/beyblade-product-list/release-list</x:v>
      </x:c>
      <x:c r="AA5" s="12" t="str">
        <x:v>https://andystoys.store/products/bx-15-starter-leon-claw-5-60p-beyblade-x-version-japonesa</x:v>
      </x:c>
      <x:c r="AB5" s="12"/>
      <x:c r="AC5" s="12" t="str">
        <x:v>https://beywatch.gg/blades/leon-claw</x:v>
      </x:c>
      <x:c r="AD5" s="12" t="str">
        <x:v>Tier provisional en Beywatch por muestra pequeña (&lt;60 top cuts).</x:v>
      </x:c>
    </x:row>
    <x:row r="6">
      <x:c r="A6" s="12" t="str">
        <x:v>BX-23</x:v>
      </x:c>
      <x:c r="B6" s="12" t="str">
        <x:v>Phoenix Wing 9-60GF</x:v>
      </x:c>
      <x:c r="C6" s="12" t="str">
        <x:v>BX</x:v>
      </x:c>
      <x:c r="D6" s="12" t="str">
        <x:v>Starter</x:v>
      </x:c>
      <x:c r="E6" s="12" t="str">
        <x:v>2023-12-27</x:v>
      </x:c>
      <x:c r="F6" s="12" t="str">
        <x:v>Phoenix Wing</x:v>
      </x:c>
      <x:c r="G6" s="12" t="str">
        <x:v>9-60</x:v>
      </x:c>
      <x:c r="H6" s="12" t="str">
        <x:v>GF</x:v>
      </x:c>
      <x:c r="I6" s="12" t="n">
        <x:v>1</x:v>
      </x:c>
      <x:c r="J6" s="12" t="n">
        <x:v>1</x:v>
      </x:c>
      <x:c r="K6" s="12" t="n">
        <x:v>0</x:v>
      </x:c>
      <x:c r="L6" s="14" t="n">
        <x:v>1529</x:v>
      </x:c>
      <x:c r="M6" s="14"/>
      <x:c r="N6" s="14" t="n">
        <x:f>MIN(L6:M6)</x:f>
        <x:v>1529</x:v>
      </x:c>
      <x:c r="O6" s="14" t="n">
        <x:f>MAX(L6:M6)</x:f>
        <x:v>1529</x:v>
      </x:c>
      <x:c r="P6" s="14" t="n">
        <x:f>MEDIAN(L6:M6)</x:f>
        <x:v>1529</x:v>
      </x:c>
      <x:c r="Q6" s="12" t="n">
        <x:v>1</x:v>
      </x:c>
      <x:c r="R6" s="16" t="n">
        <x:v>38</x:v>
      </x:c>
      <x:c r="S6" s="12" t="n">
        <x:v>12</x:v>
      </x:c>
      <x:c r="T6" s="12" t="str">
        <x:v>S</x:v>
      </x:c>
      <x:c r="U6" s="16" t="n">
        <x:v>33.2</x:v>
      </x:c>
      <x:c r="V6" s="16" t="n">
        <x:v>28.4</x:v>
      </x:c>
      <x:c r="W6" s="16" t="n">
        <x:v>29.2</x:v>
      </x:c>
      <x:c r="X6" s="18" t="n">
        <x:v>2806</x:v>
      </x:c>
      <x:c r="Y6" s="12" t="str">
        <x:v>2026-09-15</x:v>
      </x:c>
      <x:c r="Z6" s="12" t="str">
        <x:v>https://www.beybxdb.com/beyblade-product-list/release-list</x:v>
      </x:c>
      <x:c r="AA6" s="12" t="str">
        <x:v>https://www.walmart.com.mx/ip/beyblade-x-takara-tomy-bx-23-starter-phoenix-wing-9-60gf-con-lanzador/00490481091309</x:v>
      </x:c>
      <x:c r="AB6" s="12"/>
      <x:c r="AC6" s="12" t="str">
        <x:v>https://beywatch.gg/blades/phoenix-wing</x:v>
      </x:c>
      <x:c r="AD6" s="12" t="str">
        <x:v>Takara Tomy; precio observado en marketplace de Walmart México.</x:v>
      </x:c>
    </x:row>
    <x:row r="7">
      <x:c r="A7" s="12" t="str">
        <x:v>BX-26</x:v>
      </x:c>
      <x:c r="B7" s="12" t="str">
        <x:v>Unicorn Sting 5-60GP</x:v>
      </x:c>
      <x:c r="C7" s="12" t="str">
        <x:v>BX</x:v>
      </x:c>
      <x:c r="D7" s="12" t="str">
        <x:v>Booster</x:v>
      </x:c>
      <x:c r="E7" s="12" t="str">
        <x:v>2024-01-27</x:v>
      </x:c>
      <x:c r="F7" s="12" t="str">
        <x:v>Unicorn Sting</x:v>
      </x:c>
      <x:c r="G7" s="12" t="str">
        <x:v>5-60</x:v>
      </x:c>
      <x:c r="H7" s="12" t="str">
        <x:v>GP</x:v>
      </x:c>
      <x:c r="I7" s="12" t="n">
        <x:v>1</x:v>
      </x:c>
      <x:c r="J7" s="12" t="n">
        <x:v>0</x:v>
      </x:c>
      <x:c r="K7" s="12" t="n">
        <x:v>0</x:v>
      </x:c>
      <x:c r="L7" s="14" t="n">
        <x:v>450</x:v>
      </x:c>
      <x:c r="M7" s="14"/>
      <x:c r="N7" s="14" t="n">
        <x:f>MIN(L7:M7)</x:f>
        <x:v>450</x:v>
      </x:c>
      <x:c r="O7" s="14" t="n">
        <x:f>MAX(L7:M7)</x:f>
        <x:v>450</x:v>
      </x:c>
      <x:c r="P7" s="14" t="n">
        <x:f>MEDIAN(L7:M7)</x:f>
        <x:v>450</x:v>
      </x:c>
      <x:c r="Q7" s="12" t="n">
        <x:v>1</x:v>
      </x:c>
      <x:c r="R7" s="16" t="n">
        <x:v>33.4</x:v>
      </x:c>
      <x:c r="S7" s="12" t="n">
        <x:v>40</x:v>
      </x:c>
      <x:c r="T7" s="12" t="str">
        <x:v>C</x:v>
      </x:c>
      <x:c r="U7" s="16" t="n">
        <x:v>28.6</x:v>
      </x:c>
      <x:c r="V7" s="16" t="n">
        <x:v>1.9</x:v>
      </x:c>
      <x:c r="W7" s="16" t="n">
        <x:v>2.2</x:v>
      </x:c>
      <x:c r="X7" s="18" t="n">
        <x:v>213</x:v>
      </x:c>
      <x:c r="Y7" s="12" t="str">
        <x:v>2026-09-14</x:v>
      </x:c>
      <x:c r="Z7" s="12" t="str">
        <x:v>https://www.beybxdb.com/beyblade-product-list/release-list</x:v>
      </x:c>
      <x:c r="AA7" s="12" t="str">
        <x:v>https://andystoys.store/products/bx-26-unicornsting-5-60gp-beyblade-x-version-japonesa</x:v>
      </x:c>
      <x:c r="AB7" s="12"/>
      <x:c r="AC7" s="12" t="str">
        <x:v>https://beywatch.gg/blades/unicorn-sting</x:v>
      </x:c>
      <x:c r="AD7" s="12" t="str">
        <x:v>Takara Tomy; booster sin launcher.</x:v>
      </x:c>
    </x:row>
    <x:row r="8">
      <x:c r="A8" s="12" t="str">
        <x:v>UX-01</x:v>
      </x:c>
      <x:c r="B8" s="12" t="str">
        <x:v>Dran Buster 1-60A</x:v>
      </x:c>
      <x:c r="C8" s="12" t="str">
        <x:v>UX</x:v>
      </x:c>
      <x:c r="D8" s="12" t="str">
        <x:v>Starter</x:v>
      </x:c>
      <x:c r="E8" s="12" t="str">
        <x:v>2024-03-30</x:v>
      </x:c>
      <x:c r="F8" s="12" t="str">
        <x:v>Dran Buster</x:v>
      </x:c>
      <x:c r="G8" s="12" t="str">
        <x:v>1-60</x:v>
      </x:c>
      <x:c r="H8" s="12" t="str">
        <x:v>A</x:v>
      </x:c>
      <x:c r="I8" s="12" t="n">
        <x:v>1</x:v>
      </x:c>
      <x:c r="J8" s="12" t="n">
        <x:v>1</x:v>
      </x:c>
      <x:c r="K8" s="12" t="n">
        <x:v>0</x:v>
      </x:c>
      <x:c r="L8" s="14" t="n">
        <x:v>600</x:v>
      </x:c>
      <x:c r="M8" s="14"/>
      <x:c r="N8" s="14" t="n">
        <x:f>MIN(L8:M8)</x:f>
        <x:v>600</x:v>
      </x:c>
      <x:c r="O8" s="14" t="n">
        <x:f>MAX(L8:M8)</x:f>
        <x:v>600</x:v>
      </x:c>
      <x:c r="P8" s="14" t="n">
        <x:f>MEDIAN(L8:M8)</x:f>
        <x:v>600</x:v>
      </x:c>
      <x:c r="Q8" s="12" t="n">
        <x:v>1</x:v>
      </x:c>
      <x:c r="R8" s="16" t="n">
        <x:v>36.5</x:v>
      </x:c>
      <x:c r="S8" s="12" t="n">
        <x:v>31</x:v>
      </x:c>
      <x:c r="T8" s="12" t="str">
        <x:v>B</x:v>
      </x:c>
      <x:c r="U8" s="16" t="n">
        <x:v>31.9</x:v>
      </x:c>
      <x:c r="V8" s="16" t="n">
        <x:v>4.4</x:v>
      </x:c>
      <x:c r="W8" s="16" t="n">
        <x:v>4.7</x:v>
      </x:c>
      <x:c r="X8" s="18" t="n">
        <x:v>454</x:v>
      </x:c>
      <x:c r="Y8" s="12" t="str">
        <x:v>2026-09-15</x:v>
      </x:c>
      <x:c r="Z8" s="12" t="str">
        <x:v>https://www.beybxdb.com/beyblade-product-list/release-list</x:v>
      </x:c>
      <x:c r="AA8" s="12" t="str">
        <x:v>https://andystoys.store/products/ux-01-starter-dranbuster-1-60a-beyblade-x-version-japonesa</x:v>
      </x:c>
      <x:c r="AB8" s="12"/>
      <x:c r="AC8" s="12" t="str">
        <x:v>https://beywatch.gg/blades/dran-buster</x:v>
      </x:c>
      <x:c r="AD8" s="12" t="str">
        <x:v>Takara Tomy; precio observado en tienda mexicana.</x:v>
      </x:c>
    </x:row>
    <x:row r="9">
      <x:c r="A9" s="12" t="str">
        <x:v>UX-03</x:v>
      </x:c>
      <x:c r="B9" s="12" t="str">
        <x:v>Wizard Rod 5-70DB</x:v>
      </x:c>
      <x:c r="C9" s="12" t="str">
        <x:v>UX</x:v>
      </x:c>
      <x:c r="D9" s="12" t="str">
        <x:v>Booster</x:v>
      </x:c>
      <x:c r="E9" s="12" t="str">
        <x:v>2024-03-30</x:v>
      </x:c>
      <x:c r="F9" s="12" t="str">
        <x:v>Wizard Rod</x:v>
      </x:c>
      <x:c r="G9" s="12" t="str">
        <x:v>5-70</x:v>
      </x:c>
      <x:c r="H9" s="12" t="str">
        <x:v>DB</x:v>
      </x:c>
      <x:c r="I9" s="12" t="n">
        <x:v>1</x:v>
      </x:c>
      <x:c r="J9" s="12" t="n">
        <x:v>0</x:v>
      </x:c>
      <x:c r="K9" s="12" t="n">
        <x:v>0</x:v>
      </x:c>
      <x:c r="L9" s="14" t="n">
        <x:v>449</x:v>
      </x:c>
      <x:c r="M9" s="14" t="n">
        <x:v>686.33</x:v>
      </x:c>
      <x:c r="N9" s="14" t="n">
        <x:f>MIN(L9:M9)</x:f>
        <x:v>449</x:v>
      </x:c>
      <x:c r="O9" s="14" t="n">
        <x:f>MAX(L9:M9)</x:f>
        <x:v>686.33</x:v>
      </x:c>
      <x:c r="P9" s="14" t="n">
        <x:f>MEDIAN(L9:M9)</x:f>
        <x:v>567.665</x:v>
      </x:c>
      <x:c r="Q9" s="12" t="n">
        <x:v>2</x:v>
      </x:c>
      <x:c r="R9" s="16" t="n">
        <x:v>35.3</x:v>
      </x:c>
      <x:c r="S9" s="12" t="n">
        <x:v>2</x:v>
      </x:c>
      <x:c r="T9" s="12" t="str">
        <x:v>X</x:v>
      </x:c>
      <x:c r="U9" s="16" t="n">
        <x:v>35.5</x:v>
      </x:c>
      <x:c r="V9" s="16" t="n">
        <x:v>64.4</x:v>
      </x:c>
      <x:c r="W9" s="16" t="n">
        <x:v>62</x:v>
      </x:c>
      <x:c r="X9" s="18" t="n">
        <x:v>5963</x:v>
      </x:c>
      <x:c r="Y9" s="12" t="str">
        <x:v>2026-09-15</x:v>
      </x:c>
      <x:c r="Z9" s="12" t="str">
        <x:v>https://www.beybxdb.com/beyblade-product-list/release-list</x:v>
      </x:c>
      <x:c r="AA9" s="12" t="str">
        <x:v>https://rucua.com/en_uss/tienda/ux-03-booster-wizard-rod-5-70db/</x:v>
      </x:c>
      <x:c r="AB9" s="12" t="str">
        <x:v>https://www.walmart.com.mx/ip/beyblade-x-booster-ux-03-wizard-rod-5-70db-takara-tomy/00490481091449</x:v>
      </x:c>
      <x:c r="AC9" s="12" t="str">
        <x:v>https://beywatch.gg/blades/wizard-rod</x:v>
      </x:c>
      <x:c r="AD9" s="12" t="str">
        <x:v>Dos observaciones actuales de precio; se usa la mediana.</x:v>
      </x:c>
    </x:row>
  </x:sheetData>
  <x:conditionalFormatting sqref="U2:W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2:X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{EF85FEEC-1622-E955-3476-1427A403CE8D}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821c171ca7c471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F85FEEC-1622-E955-3476-1427A403CE8D}">
            <x14:dataBar gradient="1">
              <x14:cfvo type="min"/>
              <x14:cfvo type="max"/>
              <x14:fillColor rgb="FFA02B93"/>
            </x14:dataBar>
          </x14:cfRule>
          <xm:sqref>X2:X9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  <x:col min="8" max="8" width="38" hidden="0" customWidth="1"/>
  </x:cols>
  <x:sheetData>
    <x:row r="1">
      <x:c r="A1" s="6" t="str">
        <x:v>decil</x:v>
      </x:c>
      <x:c r="B1" s="6" t="str">
        <x:v>ingreso_trimestral_mxn</x:v>
      </x:c>
      <x:c r="C1" s="6" t="str">
        <x:v>gasto_trimestral_mxn</x:v>
      </x:c>
      <x:c r="D1" s="6" t="str">
        <x:v>ingreso_mensual_mxn</x:v>
      </x:c>
      <x:c r="E1" s="6" t="str">
        <x:v>gasto_mensual_mxn</x:v>
      </x:c>
      <x:c r="F1" s="6" t="str">
        <x:v>remanente_mensual_mxn</x:v>
      </x:c>
      <x:c r="G1" s="6" t="str">
        <x:v>source_url</x:v>
      </x:c>
      <x:c r="H1" s="6" t="str">
        <x:v>notes</x:v>
      </x:c>
    </x:row>
    <x:row r="2">
      <x:c r="A2" s="12" t="str">
        <x:v>I</x:v>
      </x:c>
      <x:c r="B2" s="14" t="n">
        <x:v>16795</x:v>
      </x:c>
      <x:c r="C2" s="14" t="n">
        <x:v>16955</x:v>
      </x:c>
      <x:c r="D2" s="14" t="n">
        <x:f>B2/3</x:f>
        <x:v>5598.333333333333</x:v>
      </x:c>
      <x:c r="E2" s="14" t="n">
        <x:f>C2/3</x:f>
        <x:v>5651.666666666667</x:v>
      </x:c>
      <x:c r="F2" s="14" t="n">
        <x:f>D2-E2</x:f>
        <x:v>-53.33333333333394</x:v>
      </x:c>
      <x:c r="G2" s="12" t="str">
        <x:v>https://www.inegi.org.mx/contenidos/programas/enigh/nc/2024/doc/enigh2024_ns_presentacion_resultados.pdf</x:v>
      </x:c>
      <x:c r="H2" s="12" t="str">
        <x:v>Valores trimestrales oficiales 2024; los mensuales se derivan dividiendo entre 3.</x:v>
      </x:c>
    </x:row>
    <x:row r="3">
      <x:c r="A3" s="12" t="str">
        <x:v>II</x:v>
      </x:c>
      <x:c r="B3" s="14" t="n">
        <x:v>28297</x:v>
      </x:c>
      <x:c r="C3" s="14" t="n">
        <x:v>23334</x:v>
      </x:c>
      <x:c r="D3" s="14" t="n">
        <x:f>B3/3</x:f>
        <x:v>9432.333333333334</x:v>
      </x:c>
      <x:c r="E3" s="14" t="n">
        <x:f>C3/3</x:f>
        <x:v>7778</x:v>
      </x:c>
      <x:c r="F3" s="14" t="n">
        <x:f>D3-E3</x:f>
        <x:v>1654.333333333334</x:v>
      </x:c>
      <x:c r="G3" s="12" t="str">
        <x:v>https://www.inegi.org.mx/contenidos/programas/enigh/nc/2024/doc/enigh2024_ns_presentacion_resultados.pdf</x:v>
      </x:c>
      <x:c r="H3" s="12" t="str">
        <x:v>Valores trimestrales oficiales 2024; los mensuales se derivan dividiendo entre 3.</x:v>
      </x:c>
    </x:row>
    <x:row r="4">
      <x:c r="A4" s="12" t="str">
        <x:v>III</x:v>
      </x:c>
      <x:c r="B4" s="14" t="n">
        <x:v>36845</x:v>
      </x:c>
      <x:c r="C4" s="14" t="n">
        <x:v>28330</x:v>
      </x:c>
      <x:c r="D4" s="14" t="n">
        <x:f>B4/3</x:f>
        <x:v>12281.666666666666</x:v>
      </x:c>
      <x:c r="E4" s="14" t="n">
        <x:f>C4/3</x:f>
        <x:v>9443.333333333334</x:v>
      </x:c>
      <x:c r="F4" s="14" t="n">
        <x:f>D4-E4</x:f>
        <x:v>2838.333333333332</x:v>
      </x:c>
      <x:c r="G4" s="12" t="str">
        <x:v>https://www.inegi.org.mx/contenidos/programas/enigh/nc/2024/doc/enigh2024_ns_presentacion_resultados.pdf</x:v>
      </x:c>
      <x:c r="H4" s="12" t="str">
        <x:v>Valores trimestrales oficiales 2024; los mensuales se derivan dividiendo entre 3.</x:v>
      </x:c>
    </x:row>
    <x:row r="5">
      <x:c r="A5" s="12" t="str">
        <x:v>IV</x:v>
      </x:c>
      <x:c r="B5" s="14" t="n">
        <x:v>45245</x:v>
      </x:c>
      <x:c r="C5" s="14" t="n">
        <x:v>32817</x:v>
      </x:c>
      <x:c r="D5" s="14" t="n">
        <x:f>B5/3</x:f>
        <x:v>15081.666666666666</x:v>
      </x:c>
      <x:c r="E5" s="14" t="n">
        <x:f>C5/3</x:f>
        <x:v>10939</x:v>
      </x:c>
      <x:c r="F5" s="14" t="n">
        <x:f>D5-E5</x:f>
        <x:v>4142.666666666666</x:v>
      </x:c>
      <x:c r="G5" s="12" t="str">
        <x:v>https://www.inegi.org.mx/contenidos/programas/enigh/nc/2024/doc/enigh2024_ns_presentacion_resultados.pdf</x:v>
      </x:c>
      <x:c r="H5" s="12" t="str">
        <x:v>Valores trimestrales oficiales 2024; los mensuales se derivan dividiendo entre 3.</x:v>
      </x:c>
    </x:row>
    <x:row r="6">
      <x:c r="A6" s="12" t="str">
        <x:v>V</x:v>
      </x:c>
      <x:c r="B6" s="14" t="n">
        <x:v>54308</x:v>
      </x:c>
      <x:c r="C6" s="14" t="n">
        <x:v>37470</x:v>
      </x:c>
      <x:c r="D6" s="14" t="n">
        <x:f>B6/3</x:f>
        <x:v>18102.666666666668</x:v>
      </x:c>
      <x:c r="E6" s="14" t="n">
        <x:f>C6/3</x:f>
        <x:v>12490</x:v>
      </x:c>
      <x:c r="F6" s="14" t="n">
        <x:f>D6-E6</x:f>
        <x:v>5612.666666666668</x:v>
      </x:c>
      <x:c r="G6" s="12" t="str">
        <x:v>https://www.inegi.org.mx/contenidos/programas/enigh/nc/2024/doc/enigh2024_ns_presentacion_resultados.pdf</x:v>
      </x:c>
      <x:c r="H6" s="12" t="str">
        <x:v>Valores trimestrales oficiales 2024; los mensuales se derivan dividiendo entre 3.</x:v>
      </x:c>
    </x:row>
    <x:row r="7">
      <x:c r="A7" s="12" t="str">
        <x:v>VI</x:v>
      </x:c>
      <x:c r="B7" s="14" t="n">
        <x:v>64600</x:v>
      </x:c>
      <x:c r="C7" s="14" t="n">
        <x:v>43026</x:v>
      </x:c>
      <x:c r="D7" s="14" t="n">
        <x:f>B7/3</x:f>
        <x:v>21533.333333333332</x:v>
      </x:c>
      <x:c r="E7" s="14" t="n">
        <x:f>C7/3</x:f>
        <x:v>14342</x:v>
      </x:c>
      <x:c r="F7" s="14" t="n">
        <x:f>D7-E7</x:f>
        <x:v>7191.333333333332</x:v>
      </x:c>
      <x:c r="G7" s="12" t="str">
        <x:v>https://www.inegi.org.mx/contenidos/programas/enigh/nc/2024/doc/enigh2024_ns_presentacion_resultados.pdf</x:v>
      </x:c>
      <x:c r="H7" s="12" t="str">
        <x:v>Valores trimestrales oficiales 2024; los mensuales se derivan dividiendo entre 3.</x:v>
      </x:c>
    </x:row>
    <x:row r="8">
      <x:c r="A8" s="12" t="str">
        <x:v>VII</x:v>
      </x:c>
      <x:c r="B8" s="14" t="n">
        <x:v>77451</x:v>
      </x:c>
      <x:c r="C8" s="14" t="n">
        <x:v>48844</x:v>
      </x:c>
      <x:c r="D8" s="14" t="n">
        <x:f>B8/3</x:f>
        <x:v>25817</x:v>
      </x:c>
      <x:c r="E8" s="14" t="n">
        <x:f>C8/3</x:f>
        <x:v>16281.333333333334</x:v>
      </x:c>
      <x:c r="F8" s="14" t="n">
        <x:f>D8-E8</x:f>
        <x:v>9535.666666666666</x:v>
      </x:c>
      <x:c r="G8" s="12" t="str">
        <x:v>https://www.inegi.org.mx/contenidos/programas/enigh/nc/2024/doc/enigh2024_ns_presentacion_resultados.pdf</x:v>
      </x:c>
      <x:c r="H8" s="12" t="str">
        <x:v>Valores trimestrales oficiales 2024; los mensuales se derivan dividiendo entre 3.</x:v>
      </x:c>
    </x:row>
    <x:row r="9">
      <x:c r="A9" s="12" t="str">
        <x:v>VIII</x:v>
      </x:c>
      <x:c r="B9" s="14" t="n">
        <x:v>95291</x:v>
      </x:c>
      <x:c r="C9" s="14" t="n">
        <x:v>57488</x:v>
      </x:c>
      <x:c r="D9" s="14" t="n">
        <x:f>B9/3</x:f>
        <x:v>31763.666666666668</x:v>
      </x:c>
      <x:c r="E9" s="14" t="n">
        <x:f>C9/3</x:f>
        <x:v>19162.666666666668</x:v>
      </x:c>
      <x:c r="F9" s="14" t="n">
        <x:f>D9-E9</x:f>
        <x:v>12601</x:v>
      </x:c>
      <x:c r="G9" s="12" t="str">
        <x:v>https://www.inegi.org.mx/contenidos/programas/enigh/nc/2024/doc/enigh2024_ns_presentacion_resultados.pdf</x:v>
      </x:c>
      <x:c r="H9" s="12" t="str">
        <x:v>Valores trimestrales oficiales 2024; los mensuales se derivan dividiendo entre 3.</x:v>
      </x:c>
    </x:row>
    <x:row r="10">
      <x:c r="A10" s="12" t="str">
        <x:v>IX</x:v>
      </x:c>
      <x:c r="B10" s="14" t="n">
        <x:v>123712</x:v>
      </x:c>
      <x:c r="C10" s="14" t="n">
        <x:v>70492</x:v>
      </x:c>
      <x:c r="D10" s="14" t="n">
        <x:f>B10/3</x:f>
        <x:v>41237.333333333336</x:v>
      </x:c>
      <x:c r="E10" s="14" t="n">
        <x:f>C10/3</x:f>
        <x:v>23497.333333333332</x:v>
      </x:c>
      <x:c r="F10" s="14" t="n">
        <x:f>D10-E10</x:f>
        <x:v>17740.000000000004</x:v>
      </x:c>
      <x:c r="G10" s="12" t="str">
        <x:v>https://www.inegi.org.mx/contenidos/programas/enigh/nc/2024/doc/enigh2024_ns_presentacion_resultados.pdf</x:v>
      </x:c>
      <x:c r="H10" s="12" t="str">
        <x:v>Valores trimestrales oficiales 2024; los mensuales se derivan dividiendo entre 3.</x:v>
      </x:c>
    </x:row>
    <x:row r="11">
      <x:c r="A11" s="12" t="str">
        <x:v>X</x:v>
      </x:c>
      <x:c r="B11" s="14" t="n">
        <x:v>236095</x:v>
      </x:c>
      <x:c r="C11" s="14" t="n">
        <x:v>117988</x:v>
      </x:c>
      <x:c r="D11" s="14" t="n">
        <x:f>B11/3</x:f>
        <x:v>78698.33333333333</x:v>
      </x:c>
      <x:c r="E11" s="14" t="n">
        <x:f>C11/3</x:f>
        <x:v>39329.333333333336</x:v>
      </x:c>
      <x:c r="F11" s="14" t="n">
        <x:f>D11-E11</x:f>
        <x:v>39368.99999999999</x:v>
      </x:c>
      <x:c r="G11" s="12" t="str">
        <x:v>https://www.inegi.org.mx/contenidos/programas/enigh/nc/2024/doc/enigh2024_ns_presentacion_resultados.pdf</x:v>
      </x:c>
      <x:c r="H11" s="12" t="str">
        <x:v>Valores trimestrales oficiales 2024; los mensuales se derivan dividiendo entre 3.</x:v>
      </x:c>
    </x:row>
  </x:sheetData>
  <x:conditionalFormatting sqref="F2:F1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b00769dcf548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16" hidden="0" customWidth="1"/>
    <x:col min="4" max="4" width="16" hidden="0" customWidth="1"/>
    <x:col min="5" max="5" width="28" hidden="0" customWidth="1"/>
  </x:cols>
  <x:sheetData>
    <x:row r="1">
      <x:c r="A1" s="6" t="str">
        <x:v>column</x:v>
      </x:c>
      <x:c r="B1" s="6" t="str">
        <x:v>description</x:v>
      </x:c>
      <x:c r="C1" s="6" t="str">
        <x:v>type</x:v>
      </x:c>
      <x:c r="D1" s="6" t="str">
        <x:v>group</x:v>
      </x:c>
      <x:c r="E1" s="6" t="str">
        <x:v>use_in_final_model</x:v>
      </x:c>
    </x:row>
    <x:row r="2">
      <x:c r="A2" s="12" t="str">
        <x:v>product_code</x:v>
      </x:c>
      <x:c r="B2" s="12" t="str">
        <x:v>Identificador comercial del producto</x:v>
      </x:c>
      <x:c r="C2" s="12" t="str">
        <x:v>texto</x:v>
      </x:c>
      <x:c r="D2" s="12" t="str">
        <x:v>producto</x:v>
      </x:c>
      <x:c r="E2" s="12" t="str">
        <x:v>No; identificador</x:v>
      </x:c>
    </x:row>
    <x:row r="3">
      <x:c r="A3" s="12" t="str">
        <x:v>product_name</x:v>
      </x:c>
      <x:c r="B3" s="12" t="str">
        <x:v>Nombre del producto / combo de stock</x:v>
      </x:c>
      <x:c r="C3" s="12" t="str">
        <x:v>texto</x:v>
      </x:c>
      <x:c r="D3" s="12" t="str">
        <x:v>producto</x:v>
      </x:c>
      <x:c r="E3" s="12" t="str">
        <x:v>No; identificador</x:v>
      </x:c>
    </x:row>
    <x:row r="4">
      <x:c r="A4" s="12" t="str">
        <x:v>line</x:v>
      </x:c>
      <x:c r="B4" s="12" t="str">
        <x:v>Línea Takara Tomy (BX, UX, etc.)</x:v>
      </x:c>
      <x:c r="C4" s="12" t="str">
        <x:v>categorica</x:v>
      </x:c>
      <x:c r="D4" s="12" t="str">
        <x:v>producto</x:v>
      </x:c>
      <x:c r="E4" s="12" t="str">
        <x:v>Opcional tras encoding</x:v>
      </x:c>
    </x:row>
    <x:row r="5">
      <x:c r="A5" s="12" t="str">
        <x:v>product_type</x:v>
      </x:c>
      <x:c r="B5" s="12" t="str">
        <x:v>Starter, Booster, etc.</x:v>
      </x:c>
      <x:c r="C5" s="12" t="str">
        <x:v>categorica</x:v>
      </x:c>
      <x:c r="D5" s="12" t="str">
        <x:v>producto</x:v>
      </x:c>
      <x:c r="E5" s="12" t="str">
        <x:v>Sí, tras encoding</x:v>
      </x:c>
    </x:row>
    <x:row r="6">
      <x:c r="A6" s="12" t="str">
        <x:v>release_date</x:v>
      </x:c>
      <x:c r="B6" s="12" t="str">
        <x:v>Fecha de lanzamiento</x:v>
      </x:c>
      <x:c r="C6" s="12" t="str">
        <x:v>fecha</x:v>
      </x:c>
      <x:c r="D6" s="12" t="str">
        <x:v>producto</x:v>
      </x:c>
      <x:c r="E6" s="12" t="str">
        <x:v>Derivar antigüedad</x:v>
      </x:c>
    </x:row>
    <x:row r="7">
      <x:c r="A7" s="12" t="str">
        <x:v>bey_count</x:v>
      </x:c>
      <x:c r="B7" s="12" t="str">
        <x:v>Número de Beyblades incluidos</x:v>
      </x:c>
      <x:c r="C7" s="12" t="str">
        <x:v>numerica</x:v>
      </x:c>
      <x:c r="D7" s="12" t="str">
        <x:v>producto</x:v>
      </x:c>
      <x:c r="E7" s="12" t="str">
        <x:v>Sí</x:v>
      </x:c>
    </x:row>
    <x:row r="8">
      <x:c r="A8" s="12" t="str">
        <x:v>launcher_included</x:v>
      </x:c>
      <x:c r="B8" s="12" t="str">
        <x:v>1 si incluye launcher; 0 si no</x:v>
      </x:c>
      <x:c r="C8" s="12" t="str">
        <x:v>binaria</x:v>
      </x:c>
      <x:c r="D8" s="12" t="str">
        <x:v>producto</x:v>
      </x:c>
      <x:c r="E8" s="12" t="str">
        <x:v>Sí</x:v>
      </x:c>
    </x:row>
    <x:row r="9">
      <x:c r="A9" s="12" t="str">
        <x:v>stadium_included</x:v>
      </x:c>
      <x:c r="B9" s="12" t="str">
        <x:v>1 si incluye estadio; 0 si no</x:v>
      </x:c>
      <x:c r="C9" s="12" t="str">
        <x:v>binaria</x:v>
      </x:c>
      <x:c r="D9" s="12" t="str">
        <x:v>producto</x:v>
      </x:c>
      <x:c r="E9" s="12" t="str">
        <x:v>Sí</x:v>
      </x:c>
    </x:row>
    <x:row r="10">
      <x:c r="A10" s="12" t="str">
        <x:v>price_median_mxn</x:v>
      </x:c>
      <x:c r="B10" s="12" t="str">
        <x:v>Precio mediano observado en MXN</x:v>
      </x:c>
      <x:c r="C10" s="12" t="str">
        <x:v>numerica</x:v>
      </x:c>
      <x:c r="D10" s="12" t="str">
        <x:v>mercado</x:v>
      </x:c>
      <x:c r="E10" s="12" t="str">
        <x:v>Sí</x:v>
      </x:c>
    </x:row>
    <x:row r="11">
      <x:c r="A11" s="12" t="str">
        <x:v>blade_weight_g</x:v>
      </x:c>
      <x:c r="B11" s="12" t="str">
        <x:v>Peso del blade según Beywatch</x:v>
      </x:c>
      <x:c r="C11" s="12" t="str">
        <x:v>numerica</x:v>
      </x:c>
      <x:c r="D11" s="12" t="str">
        <x:v>meta</x:v>
      </x:c>
      <x:c r="E11" s="12" t="str">
        <x:v>Sí</x:v>
      </x:c>
    </x:row>
    <x:row r="12">
      <x:c r="A12" s="12" t="str">
        <x:v>meta_rank</x:v>
      </x:c>
      <x:c r="B12" s="12" t="str">
        <x:v>Ranking all-time de Beywatch</x:v>
      </x:c>
      <x:c r="C12" s="12" t="str">
        <x:v>numerica</x:v>
      </x:c>
      <x:c r="D12" s="12" t="str">
        <x:v>meta</x:v>
      </x:c>
      <x:c r="E12" s="12" t="str">
        <x:v>Sí, con tratamiento de nulos</x:v>
      </x:c>
    </x:row>
    <x:row r="13">
      <x:c r="A13" s="12" t="str">
        <x:v>meta_tier</x:v>
      </x:c>
      <x:c r="B13" s="12" t="str">
        <x:v>Tier de Beywatch; ? = muestra insuficiente</x:v>
      </x:c>
      <x:c r="C13" s="12" t="str">
        <x:v>categorica</x:v>
      </x:c>
      <x:c r="D13" s="12" t="str">
        <x:v>meta</x:v>
      </x:c>
      <x:c r="E13" s="12" t="str">
        <x:v>Opcional; mejor conservar métricas numéricas</x:v>
      </x:c>
    </x:row>
    <x:row r="14">
      <x:c r="A14" s="12" t="str">
        <x:v>meta_first_rate_pct</x:v>
      </x:c>
      <x:c r="B14" s="12" t="str">
        <x:v>% de apariciones en top cuts que terminaron 1º</x:v>
      </x:c>
      <x:c r="C14" s="12" t="str">
        <x:v>numerica</x:v>
      </x:c>
      <x:c r="D14" s="12" t="str">
        <x:v>meta</x:v>
      </x:c>
      <x:c r="E14" s="12" t="str">
        <x:v>Sí</x:v>
      </x:c>
    </x:row>
    <x:row r="15">
      <x:c r="A15" s="12" t="str">
        <x:v>meta_win_share_pct</x:v>
      </x:c>
      <x:c r="B15" s="12" t="str">
        <x:v>Win share reportado por Beywatch</x:v>
      </x:c>
      <x:c r="C15" s="12" t="str">
        <x:v>numerica</x:v>
      </x:c>
      <x:c r="D15" s="12" t="str">
        <x:v>meta</x:v>
      </x:c>
      <x:c r="E15" s="12" t="str">
        <x:v>Sí</x:v>
      </x:c>
    </x:row>
    <x:row r="16">
      <x:c r="A16" s="12" t="str">
        <x:v>meta_usage_pct</x:v>
      </x:c>
      <x:c r="B16" s="12" t="str">
        <x:v>Uso en top cuts reportado por Beywatch</x:v>
      </x:c>
      <x:c r="C16" s="12" t="str">
        <x:v>numerica</x:v>
      </x:c>
      <x:c r="D16" s="12" t="str">
        <x:v>meta</x:v>
      </x:c>
      <x:c r="E16" s="12" t="str">
        <x:v>Sí</x:v>
      </x:c>
    </x:row>
    <x:row r="17">
      <x:c r="A17" s="12" t="str">
        <x:v>meta_top_cuts</x:v>
      </x:c>
      <x:c r="B17" s="12" t="str">
        <x:v>Número de top cuts reportados</x:v>
      </x:c>
      <x:c r="C17" s="12" t="str">
        <x:v>numerica</x:v>
      </x:c>
      <x:c r="D17" s="12" t="str">
        <x:v>meta</x:v>
      </x:c>
      <x:c r="E17" s="12" t="str">
        <x:v>Sí</x:v>
      </x:c>
    </x:row>
    <x:row r="18">
      <x:c r="A18" s="12" t="str">
        <x:v>ingreso_mensual_mxn</x:v>
      </x:c>
      <x:c r="B18" s="12" t="str">
        <x:v>Ingreso mensual promedio derivado de ENIGH</x:v>
      </x:c>
      <x:c r="C18" s="12" t="str">
        <x:v>numerica</x:v>
      </x:c>
      <x:c r="D18" s="12" t="str">
        <x:v>economia</x:v>
      </x:c>
      <x:c r="E18" s="12" t="str">
        <x:v>Sí</x:v>
      </x:c>
    </x:row>
    <x:row r="19">
      <x:c r="A19" s="12" t="str">
        <x:v>gasto_mensual_mxn</x:v>
      </x:c>
      <x:c r="B19" s="12" t="str">
        <x:v>Gasto mensual promedio derivado de ENIGH</x:v>
      </x:c>
      <x:c r="C19" s="12" t="str">
        <x:v>numerica</x:v>
      </x:c>
      <x:c r="D19" s="12" t="str">
        <x:v>economia</x:v>
      </x:c>
      <x:c r="E19" s="12" t="str">
        <x:v>Sí</x:v>
      </x:c>
    </x:row>
    <x:row r="20">
      <x:c r="A20" s="12" t="str">
        <x:v>remanente_mensual_mxn</x:v>
      </x:c>
      <x:c r="B20" s="12" t="str">
        <x:v>Ingreso mensual - gasto mensual</x:v>
      </x:c>
      <x:c r="C20" s="12" t="str">
        <x:v>numerica</x:v>
      </x:c>
      <x:c r="D20" s="12" t="str">
        <x:v>economia</x:v>
      </x:c>
      <x:c r="E20" s="12" t="str">
        <x:v>Sí</x:v>
      </x:c>
    </x:row>
    <x:row r="21">
      <x:c r="A21" s="12" t="str">
        <x:v>comprar</x:v>
      </x:c>
      <x:c r="B21" s="12" t="str">
        <x:v>Variable objetivo futura: 1 comprar / 0 no comprar</x:v>
      </x:c>
      <x:c r="C21" s="12" t="str">
        <x:v>binaria</x:v>
      </x:c>
      <x:c r="D21" s="12" t="str">
        <x:v>target</x:v>
      </x:c>
      <x:c r="E21" s="12" t="str">
        <x:v>Sí; aún no generada</x:v>
      </x:c>
    </x:row>
    <x:row r="22">
      <x:c r="A22" s="12" t="str">
        <x:v>ingreso_personal_mensual_mxn</x:v>
      </x:c>
      <x:c r="B22" s="12" t="str">
        <x:v>Ingreso mensual individual usado en escenarios de compra; separado del ingreso del hogar ENIGH.</x:v>
      </x:c>
      <x:c r="C22" s="12" t="str">
        <x:v>numerica</x:v>
      </x:c>
      <x:c r="D22" s="12" t="str">
        <x:v>economia</x:v>
      </x:c>
      <x:c r="E22" s="12" t="str">
        <x:v>Sí</x:v>
      </x:c>
    </x:row>
    <x:row r="23">
      <x:c r="A23" s="12" t="str">
        <x:v>income_data_type</x:v>
      </x:c>
      <x:c r="B23" s="12" t="str">
        <x:v>Indica si el ingreso proviene de una fuente oficial del hogar o de un escenario sintético personal.</x:v>
      </x:c>
      <x:c r="C23" s="12" t="str">
        <x:v>categorica</x:v>
      </x:c>
      <x:c r="D23" s="12" t="str">
        <x:v>calidad_dato</x:v>
      </x:c>
      <x:c r="E23" s="12" t="str">
        <x:v>No directamente; sirve para auditoría/segmentación</x:v>
      </x:c>
    </x:row>
  </x:sheetData>
  <x:pageMargins left="0.7" right="0.7" top="0.75" bottom="0.75" header="0.3" footer="0.3"/>
  <x:tableParts count="1">
    <x:tablePart xmlns:r="http://schemas.openxmlformats.org/officeDocument/2006/relationships" r:id="R9fc9dc9a61c34e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38" hidden="0" customWidth="1"/>
    <x:col min="5" max="5" width="52" hidden="0" customWidth="1"/>
    <x:col min="6" max="6" width="20" hidden="0" customWidth="1"/>
    <x:col min="7" max="7" width="34" hidden="0" customWidth="1"/>
    <x:col min="8" max="8" width="18" hidden="0" customWidth="1"/>
  </x:cols>
  <x:sheetData>
    <x:row r="1">
      <x:c r="A1" s="25" t="str">
        <x:v>scenario_id</x:v>
      </x:c>
      <x:c r="B1" s="25" t="str">
        <x:v>ingreso_personal_mensual_mxn</x:v>
      </x:c>
      <x:c r="C1" s="25" t="str">
        <x:v>tipo_dato</x:v>
      </x:c>
      <x:c r="D1" s="25" t="str">
        <x:v>uso_recomendado</x:v>
      </x:c>
      <x:c r="E1" s="25" t="str">
        <x:v>nota_metodologica</x:v>
      </x:c>
      <x:c r="F1" s="25" t="str">
        <x:v>source_type</x:v>
      </x:c>
      <x:c r="G1" s="25" t="str">
        <x:v>source_url</x:v>
      </x:c>
      <x:c r="H1" s="25" t="str">
        <x:v>official_inegi_value</x:v>
      </x:c>
    </x:row>
    <x:row r="2">
      <x:c r="A2" s="12" t="str">
        <x:v>LOW_01</x:v>
      </x:c>
      <x:c r="B2" s="14" t="n">
        <x:v>4001</x:v>
      </x:c>
      <x:c r="C2" s="12" t="str">
        <x:v>Sintético / escenario de modelado</x:v>
      </x:c>
      <x:c r="D2" s="12" t="str">
        <x:v>Representar ingreso personal mensual bajo para escenarios de compra</x:v>
      </x:c>
      <x:c r="E2" s="12" t="str">
        <x:v>No sustituye a ENIGH. Se conserva separado porque ENIGH reporta ingreso del hogar, no salario individual.</x:v>
      </x:c>
      <x:c r="F2" s="12" t="str">
        <x:v>Supuesto del proyecto</x:v>
      </x:c>
      <x:c r="G2" s="12" t="str"/>
      <x:c r="H2" s="12" t="str">
        <x:v>No</x:v>
      </x:c>
    </x:row>
    <x:row r="3">
      <x:c r="A3" s="12" t="str">
        <x:v>LOW_02</x:v>
      </x:c>
      <x:c r="B3" s="14" t="n">
        <x:v>4500</x:v>
      </x:c>
      <x:c r="C3" s="12" t="str">
        <x:v>Sintético / escenario de modelado</x:v>
      </x:c>
      <x:c r="D3" s="12" t="str">
        <x:v>Representar ingreso personal mensual bajo para escenarios de compra</x:v>
      </x:c>
      <x:c r="E3" s="12" t="str">
        <x:v>No sustituye a ENIGH. Se conserva separado porque ENIGH reporta ingreso del hogar, no salario individual.</x:v>
      </x:c>
      <x:c r="F3" s="12" t="str">
        <x:v>Supuesto del proyecto</x:v>
      </x:c>
      <x:c r="G3" s="12" t="str"/>
      <x:c r="H3" s="12" t="str">
        <x:v>No</x:v>
      </x:c>
    </x:row>
    <x:row r="4">
      <x:c r="A4" s="12" t="str">
        <x:v>LOW_03</x:v>
      </x:c>
      <x:c r="B4" s="14" t="n">
        <x:v>5000</x:v>
      </x:c>
      <x:c r="C4" s="12" t="str">
        <x:v>Sintético / escenario de modelado</x:v>
      </x:c>
      <x:c r="D4" s="12" t="str">
        <x:v>Representar ingreso personal mensual bajo para escenarios de compra</x:v>
      </x:c>
      <x:c r="E4" s="12" t="str">
        <x:v>No sustituye a ENIGH. Se conserva separado porque ENIGH reporta ingreso del hogar, no salario individual.</x:v>
      </x:c>
      <x:c r="F4" s="12" t="str">
        <x:v>Supuesto del proyecto</x:v>
      </x:c>
      <x:c r="G4" s="12" t="str"/>
      <x:c r="H4" s="12" t="str">
        <x:v>No</x:v>
      </x:c>
    </x:row>
    <x:row r="5">
      <x:c r="A5" s="12" t="str">
        <x:v>LOW_04</x:v>
      </x:c>
      <x:c r="B5" s="14" t="n">
        <x:v>5500</x:v>
      </x:c>
      <x:c r="C5" s="12" t="str">
        <x:v>Sintético / escenario de modelado</x:v>
      </x:c>
      <x:c r="D5" s="12" t="str">
        <x:v>Representar ingreso personal mensual bajo para escenarios de compra</x:v>
      </x:c>
      <x:c r="E5" s="12" t="str">
        <x:v>No sustituye a ENIGH. Se conserva separado porque ENIGH reporta ingreso del hogar, no salario individual.</x:v>
      </x:c>
      <x:c r="F5" s="12" t="str">
        <x:v>Supuesto del proyecto</x:v>
      </x:c>
      <x:c r="G5" s="12" t="str"/>
      <x:c r="H5" s="12" t="str">
        <x:v>No</x:v>
      </x:c>
    </x:row>
    <x:row r="6">
      <x:c r="A6" s="12" t="str">
        <x:v>LOW_05</x:v>
      </x:c>
      <x:c r="B6" s="14" t="n">
        <x:v>6000</x:v>
      </x:c>
      <x:c r="C6" s="12" t="str">
        <x:v>Sintético / escenario de modelado</x:v>
      </x:c>
      <x:c r="D6" s="12" t="str">
        <x:v>Representar ingreso personal mensual bajo para escenarios de compra</x:v>
      </x:c>
      <x:c r="E6" s="12" t="str">
        <x:v>No sustituye a ENIGH. Se conserva separado porque ENIGH reporta ingreso del hogar, no salario individual.</x:v>
      </x:c>
      <x:c r="F6" s="12" t="str">
        <x:v>Supuesto del proyecto</x:v>
      </x:c>
      <x:c r="G6" s="12" t="str"/>
      <x:c r="H6" s="12" t="str">
        <x:v>No</x:v>
      </x:c>
    </x:row>
    <x:row r="7">
      <x:c r="A7" s="12" t="str">
        <x:v>LOW_06</x:v>
      </x:c>
      <x:c r="B7" s="14" t="n">
        <x:v>6500</x:v>
      </x:c>
      <x:c r="C7" s="12" t="str">
        <x:v>Sintético / escenario de modelado</x:v>
      </x:c>
      <x:c r="D7" s="12" t="str">
        <x:v>Representar ingreso personal mensual bajo para escenarios de compra</x:v>
      </x:c>
      <x:c r="E7" s="12" t="str">
        <x:v>No sustituye a ENIGH. Se conserva separado porque ENIGH reporta ingreso del hogar, no salario individual.</x:v>
      </x:c>
      <x:c r="F7" s="12" t="str">
        <x:v>Supuesto del proyecto</x:v>
      </x:c>
      <x:c r="G7" s="12" t="str"/>
      <x:c r="H7" s="12" t="str">
        <x:v>No</x:v>
      </x:c>
    </x:row>
    <x:row r="8">
      <x:c r="A8" s="12" t="str">
        <x:v>LOW_07</x:v>
      </x:c>
      <x:c r="B8" s="14" t="n">
        <x:v>7000</x:v>
      </x:c>
      <x:c r="C8" s="12" t="str">
        <x:v>Sintético / escenario de modelado</x:v>
      </x:c>
      <x:c r="D8" s="12" t="str">
        <x:v>Representar ingreso personal mensual bajo para escenarios de compra</x:v>
      </x:c>
      <x:c r="E8" s="12" t="str">
        <x:v>No sustituye a ENIGH. Se conserva separado porque ENIGH reporta ingreso del hogar, no salario individual.</x:v>
      </x:c>
      <x:c r="F8" s="12" t="str">
        <x:v>Supuesto del proyecto</x:v>
      </x:c>
      <x:c r="G8" s="12" t="str"/>
      <x:c r="H8" s="12" t="str">
        <x:v>No</x:v>
      </x:c>
    </x:row>
    <x:row r="9">
      <x:c r="A9" s="12" t="str">
        <x:v>LOW_08</x:v>
      </x:c>
      <x:c r="B9" s="14" t="n">
        <x:v>7500</x:v>
      </x:c>
      <x:c r="C9" s="12" t="str">
        <x:v>Sintético / escenario de modelado</x:v>
      </x:c>
      <x:c r="D9" s="12" t="str">
        <x:v>Representar ingreso personal mensual bajo para escenarios de compra</x:v>
      </x:c>
      <x:c r="E9" s="12" t="str">
        <x:v>No sustituye a ENIGH. Se conserva separado porque ENIGH reporta ingreso del hogar, no salario individual.</x:v>
      </x:c>
      <x:c r="F9" s="12" t="str">
        <x:v>Supuesto del proyecto</x:v>
      </x:c>
      <x:c r="G9" s="12" t="str"/>
      <x:c r="H9" s="12" t="str">
        <x:v>No</x:v>
      </x:c>
    </x:row>
    <x:row r="10">
      <x:c r="A10" s="12" t="str">
        <x:v>LOW_09</x:v>
      </x:c>
      <x:c r="B10" s="14" t="n">
        <x:v>8000</x:v>
      </x:c>
      <x:c r="C10" s="12" t="str">
        <x:v>Sintético / escenario de modelado</x:v>
      </x:c>
      <x:c r="D10" s="12" t="str">
        <x:v>Representar ingreso personal mensual bajo para escenarios de compra</x:v>
      </x:c>
      <x:c r="E10" s="12" t="str">
        <x:v>No sustituye a ENIGH. Se conserva separado porque ENIGH reporta ingreso del hogar, no salario individual.</x:v>
      </x:c>
      <x:c r="F10" s="12" t="str">
        <x:v>Supuesto del proyecto</x:v>
      </x:c>
      <x:c r="G10" s="12" t="str"/>
      <x:c r="H10" s="12" t="str">
        <x:v>No</x:v>
      </x:c>
    </x:row>
    <x:row r="11">
      <x:c r="A11" s="12" t="str">
        <x:v>LOW_10</x:v>
      </x:c>
      <x:c r="B11" s="14" t="n">
        <x:v>8500</x:v>
      </x:c>
      <x:c r="C11" s="12" t="str">
        <x:v>Sintético / escenario de modelado</x:v>
      </x:c>
      <x:c r="D11" s="12" t="str">
        <x:v>Representar ingreso personal mensual bajo para escenarios de compra</x:v>
      </x:c>
      <x:c r="E11" s="12" t="str">
        <x:v>No sustituye a ENIGH. Se conserva separado porque ENIGH reporta ingreso del hogar, no salario individual.</x:v>
      </x:c>
      <x:c r="F11" s="12" t="str">
        <x:v>Supuesto del proyecto</x:v>
      </x:c>
      <x:c r="G11" s="12" t="str"/>
      <x:c r="H11" s="12" t="str">
        <x:v>No</x:v>
      </x:c>
    </x:row>
    <x:row r="12">
      <x:c r="A12" s="12" t="str">
        <x:v>LOW_11</x:v>
      </x:c>
      <x:c r="B12" s="14" t="n">
        <x:v>8999</x:v>
      </x:c>
      <x:c r="C12" s="12" t="str">
        <x:v>Sintético / escenario de modelado</x:v>
      </x:c>
      <x:c r="D12" s="12" t="str">
        <x:v>Representar ingreso personal mensual bajo para escenarios de compra</x:v>
      </x:c>
      <x:c r="E12" s="12" t="str">
        <x:v>No sustituye a ENIGH. Se conserva separado porque ENIGH reporta ingreso del hogar, no salario individual.</x:v>
      </x:c>
      <x:c r="F12" s="12" t="str">
        <x:v>Supuesto del proyecto</x:v>
      </x:c>
      <x:c r="G12" s="12" t="str"/>
      <x:c r="H12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a7352fc284e42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4" hidden="0" customWidth="1"/>
    <x:col min="4" max="4" width="42" hidden="0" customWidth="1"/>
    <x:col min="5" max="5" width="58" hidden="0" customWidth="1"/>
    <x:col min="6" max="6" width="44" hidden="0" customWidth="1"/>
  </x:cols>
  <x:sheetData>
    <x:row r="1">
      <x:c r="A1" s="25" t="str">
        <x:v>data_group</x:v>
      </x:c>
      <x:c r="B1" s="25" t="str">
        <x:v>source</x:v>
      </x:c>
      <x:c r="C1" s="25" t="str">
        <x:v>collection_method</x:v>
      </x:c>
      <x:c r="D1" s="25" t="str">
        <x:v>fields_collected</x:v>
      </x:c>
      <x:c r="E1" s="25" t="str">
        <x:v>important_limitation</x:v>
      </x:c>
      <x:c r="F1" s="25" t="str">
        <x:v>source_url</x:v>
      </x:c>
    </x:row>
    <x:row r="2">
      <x:c r="A2" s="12" t="str">
        <x:v>Meta competitivo</x:v>
      </x:c>
      <x:c r="B2" s="12" t="str">
        <x:v>Beywatch.gg</x:v>
      </x:c>
      <x:c r="C2" s="12" t="str">
        <x:v>Recolección manual asistida por búsqueda web en la versión seed; todavía NO es web scraping automatizado.</x:v>
      </x:c>
      <x:c r="D2" s="12" t="str">
        <x:v>rank, tier, 1st Place Rate, Win Share, Usage, Top Cuts, peso de la pieza</x:v>
      </x:c>
      <x:c r="E2" s="12" t="str">
        <x:v>Beywatch resume resultados reportados de top cuts; Usage no es uso de todos los jugadores y 1st Place Rate no es win rate de batallas.</x:v>
      </x:c>
      <x:c r="F2" s="12" t="str">
        <x:v>https://beywatch.gg/</x:v>
      </x:c>
    </x:row>
    <x:row r="3">
      <x:c r="A3" s="12" t="str">
        <x:v>Productos / lanzamientos</x:v>
      </x:c>
      <x:c r="B3" s="12" t="str">
        <x:v>Beyblade X Database</x:v>
      </x:c>
      <x:c r="C3" s="12" t="str">
        <x:v>Consulta manual de listado de lanzamientos para código, nombre y fecha.</x:v>
      </x:c>
      <x:c r="D3" s="12" t="str">
        <x:v>product_code, product_name, line, product_type, release_date, partes incluidas</x:v>
      </x:c>
      <x:c r="E3" s="12" t="str">
        <x:v>Base comunitaria; conviene contrastar productos críticos con Takara Tomy.</x:v>
      </x:c>
      <x:c r="F3" s="12" t="str">
        <x:v>https://www.beybxdb.com/beyblade-product-list/release-list</x:v>
      </x:c>
    </x:row>
    <x:row r="4">
      <x:c r="A4" s="12" t="str">
        <x:v>Precios</x:v>
      </x:c>
      <x:c r="B4" s="12" t="str">
        <x:v>Tiendas mexicanas y marketplaces</x:v>
      </x:c>
      <x:c r="C4" s="12" t="str">
        <x:v>Observaciones manuales puntuales en MXN; cuando hubo más de una se guardaron varias y se calculó mediana.</x:v>
      </x:c>
      <x:c r="D4" s="12" t="str">
        <x:v>price_1_mxn, price_2_mxn, min, max, median</x:v>
      </x:c>
      <x:c r="E4" s="12" t="str">
        <x:v>Los precios cambian con el tiempo, vendedor, envío, stock e importación; deben llevar fecha de captura.</x:v>
      </x:c>
      <x:c r="F4" s="12" t="str">
        <x:v>Ver columnas price_source_url en Products_Meta</x:v>
      </x:c>
    </x:row>
    <x:row r="5">
      <x:c r="A5" s="12" t="str">
        <x:v>Economía oficial</x:v>
      </x:c>
      <x:c r="B5" s="12" t="str">
        <x:v>INEGI ENIGH 2024</x:v>
      </x:c>
      <x:c r="C5" s="12" t="str">
        <x:v>Datos oficiales por decil; valores trimestrales convertidos a mensuales dividiendo entre 3.</x:v>
      </x:c>
      <x:c r="D5" s="12" t="str">
        <x:v>ingreso del hogar, gasto del hogar, remanente aproximado</x:v>
      </x:c>
      <x:c r="E5" s="12" t="str">
        <x:v>Ingreso del hogar NO equivale a salario personal. No debe mezclarse silenciosamente con ingreso individual.</x:v>
      </x:c>
      <x:c r="F5" s="12" t="str">
        <x:v>https://www.inegi.org.mx/contenidos/programas/enigh/nc/2024/doc/enigh2024_ns_presentacion_resultados.pdf</x:v>
      </x:c>
    </x:row>
    <x:row r="6">
      <x:c r="A6" s="12" t="str">
        <x:v>Ingreso personal bajo</x:v>
      </x:c>
      <x:c r="B6" s="12" t="str">
        <x:v>Supuesto del proyecto</x:v>
      </x:c>
      <x:c r="C6" s="12" t="str">
        <x:v>Escenarios sintéticos entre $4,001 y $8,999 MXN/mes añadidos para representar compradores con menor ingreso personal.</x:v>
      </x:c>
      <x:c r="D6" s="12" t="str">
        <x:v>ingreso_personal_mensual_mxn</x:v>
      </x:c>
      <x:c r="E6" s="12" t="str">
        <x:v>No son observaciones oficiales ni una afirmación de salario promedio nacional; sirven para simulación y sensibilidad del modelo.</x:v>
      </x:c>
      <x:c r="F6" s="12" t="str"/>
    </x:row>
  </x:sheetData>
  <x:pageMargins left="0.7" right="0.7" top="0.75" bottom="0.75" header="0.3" footer="0.3"/>
  <x:tableParts count="1">
    <x:tablePart xmlns:r="http://schemas.openxmlformats.org/officeDocument/2006/relationships" r:id="R1c987957d7f1498d"/>
  </x:tableParts>
</x:worksheet>
</file>